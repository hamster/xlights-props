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mster\Documents\Development\xlights\Props\PropController\"/>
    </mc:Choice>
  </mc:AlternateContent>
  <xr:revisionPtr revIDLastSave="0" documentId="13_ncr:1_{6173A4D6-AF5C-4746-A7E8-9D131C35FC8D}" xr6:coauthVersionLast="47" xr6:coauthVersionMax="47" xr10:uidLastSave="{00000000-0000-0000-0000-000000000000}"/>
  <bookViews>
    <workbookView xWindow="-35970" yWindow="2430" windowWidth="28800" windowHeight="15465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3" i="1"/>
  <c r="J9" i="1"/>
  <c r="J10" i="1"/>
  <c r="J4" i="1"/>
  <c r="J5" i="1"/>
  <c r="J6" i="1"/>
  <c r="J7" i="1"/>
  <c r="J8" i="1"/>
  <c r="J11" i="1"/>
  <c r="J12" i="1"/>
  <c r="J13" i="1"/>
  <c r="J2" i="1"/>
</calcChain>
</file>

<file path=xl/sharedStrings.xml><?xml version="1.0" encoding="utf-8"?>
<sst xmlns="http://schemas.openxmlformats.org/spreadsheetml/2006/main" count="60" uniqueCount="51">
  <si>
    <t>Part Number</t>
  </si>
  <si>
    <t>QOH</t>
  </si>
  <si>
    <t>Reference</t>
  </si>
  <si>
    <t>Value</t>
  </si>
  <si>
    <t>Footprint</t>
  </si>
  <si>
    <t>Datasheet</t>
  </si>
  <si>
    <t>Qty</t>
  </si>
  <si>
    <t>Cost Each</t>
  </si>
  <si>
    <t>Distributor</t>
  </si>
  <si>
    <t>Distributor Part</t>
  </si>
  <si>
    <t>Qty Needed</t>
  </si>
  <si>
    <t>Qty Ordered</t>
  </si>
  <si>
    <t>Notes</t>
  </si>
  <si>
    <t>Cost per Board</t>
  </si>
  <si>
    <t>Digikey</t>
  </si>
  <si>
    <t>TERM BLK 6POS SIDE ENTRY 5MM PCB</t>
  </si>
  <si>
    <t>8SOP</t>
  </si>
  <si>
    <t>1727-3869-1-ND</t>
  </si>
  <si>
    <t>PMEG3010EH,115</t>
  </si>
  <si>
    <t>DIODE SCHOTTKY 30V 1A SOD123F</t>
  </si>
  <si>
    <t>SOD123F</t>
  </si>
  <si>
    <t>490-LQH5BPN680M38LCT-ND</t>
  </si>
  <si>
    <t>LQH5BPN680M38L</t>
  </si>
  <si>
    <t>68 µH Shielded Wirewound Inductor 930 mA 396mOhm Max 2020 (5050 Metric)</t>
  </si>
  <si>
    <t>5050</t>
  </si>
  <si>
    <t>XL1509-5.0-EV</t>
  </si>
  <si>
    <t>5272-XL1509-5.0-EVCT-ND</t>
  </si>
  <si>
    <t>IC REG BUCK 5V 3A 8SOP</t>
  </si>
  <si>
    <t>7343</t>
  </si>
  <si>
    <t>478-1731-1-ND</t>
  </si>
  <si>
    <t>TAJD227K010RNJ</t>
  </si>
  <si>
    <t>1206</t>
  </si>
  <si>
    <t>10uF 50v Cap</t>
  </si>
  <si>
    <t>220uF 10v Tant Cap</t>
  </si>
  <si>
    <t>CL31A106KBHNNNE</t>
  </si>
  <si>
    <t>1276-2876-1-ND</t>
  </si>
  <si>
    <t>FUSE HOLDER BLADE 500V 30A PCB</t>
  </si>
  <si>
    <t>36-3568-ND</t>
  </si>
  <si>
    <t>1818-QT06ASF83H0000G-ND</t>
  </si>
  <si>
    <t>QT06ASF83H0000G</t>
  </si>
  <si>
    <t>1818-QT08ASF83H0000G-ND</t>
  </si>
  <si>
    <t>QT08ASF83H0000G</t>
  </si>
  <si>
    <t>TERM BLK 8POS SIDE ENTRY 5MM PCB</t>
  </si>
  <si>
    <t>10-EVP-BT1A4A000CT-ND</t>
  </si>
  <si>
    <t>EVP-BT1A4A000</t>
  </si>
  <si>
    <t>SWITCH TACTILE SPST-NO 0.02A 15V</t>
  </si>
  <si>
    <t>Total</t>
  </si>
  <si>
    <t>MC74HCT125ADR2GOSCT-ND</t>
  </si>
  <si>
    <t>MC74HCT125ADR2G</t>
  </si>
  <si>
    <t>14-SOIC</t>
  </si>
  <si>
    <t>IC BUFFER NON-INVERT 6V 14-SOIC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</si>
</sst>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sz val="10"/>
      <color rgb="FF21252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6" fillId="0" borderId="0" xfId="1" applyNumberFormat="1"/>
    <xf numFmtId="0" fontId="4" fillId="0" borderId="0" xfId="0" applyFont="1"/>
    <xf numFmtId="0" fontId="1" fillId="0" borderId="0" xfId="1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  <xf numFmtId="49" fontId="3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82"/>
  <sheetViews>
    <sheetView tabSelected="1" workbookViewId="0">
      <pane ySplit="1" topLeftCell="A2" activePane="bottomLeft" state="frozen"/>
      <selection pane="bottomLeft" activeCell="C19" sqref="C19"/>
    </sheetView>
  </sheetViews>
  <sheetFormatPr defaultColWidth="14.453125" defaultRowHeight="15.75" customHeight="1" x14ac:dyDescent="0.25"/>
  <cols>
    <col min="1" max="1" width="12.08984375" customWidth="1"/>
    <col min="2" max="2" width="17.54296875" customWidth="1"/>
    <col min="3" max="3" width="35.54296875" style="5" customWidth="1"/>
    <col min="4" max="4" width="21.1796875" customWidth="1"/>
    <col min="5" max="5" width="11.26953125" customWidth="1"/>
    <col min="6" max="6" width="24.08984375" customWidth="1"/>
    <col min="7" max="7" width="12" style="5" customWidth="1"/>
    <col min="8" max="9" width="7.1796875" customWidth="1"/>
    <col min="10" max="10" width="7.453125" style="5" customWidth="1"/>
    <col min="11" max="11" width="7.54296875" customWidth="1"/>
    <col min="12" max="12" width="7.36328125" customWidth="1"/>
    <col min="13" max="13" width="14.6328125" customWidth="1"/>
    <col min="14" max="14" width="8.453125" customWidth="1"/>
    <col min="15" max="15" width="10.453125" customWidth="1"/>
    <col min="16" max="16" width="12.90625" customWidth="1"/>
  </cols>
  <sheetData>
    <row r="1" spans="1:14" s="16" customFormat="1" ht="35.5" customHeight="1" x14ac:dyDescent="0.25">
      <c r="A1" s="14" t="s">
        <v>2</v>
      </c>
      <c r="B1" s="15" t="s">
        <v>3</v>
      </c>
      <c r="C1" s="18" t="s">
        <v>4</v>
      </c>
      <c r="D1" s="15" t="s">
        <v>0</v>
      </c>
      <c r="E1" s="15" t="s">
        <v>8</v>
      </c>
      <c r="F1" s="15" t="s">
        <v>9</v>
      </c>
      <c r="G1" s="16" t="s">
        <v>5</v>
      </c>
      <c r="H1" s="15" t="s">
        <v>6</v>
      </c>
      <c r="I1" s="15" t="s">
        <v>7</v>
      </c>
      <c r="J1" s="15" t="s">
        <v>13</v>
      </c>
      <c r="K1" s="15" t="s">
        <v>10</v>
      </c>
      <c r="L1" s="15" t="s">
        <v>11</v>
      </c>
      <c r="M1" s="15" t="s">
        <v>1</v>
      </c>
      <c r="N1" s="15" t="s">
        <v>12</v>
      </c>
    </row>
    <row r="2" spans="1:14" ht="15.75" customHeight="1" x14ac:dyDescent="0.25">
      <c r="A2" s="1"/>
      <c r="B2" t="s">
        <v>15</v>
      </c>
      <c r="C2" s="8"/>
      <c r="D2" t="s">
        <v>39</v>
      </c>
      <c r="E2" t="s">
        <v>14</v>
      </c>
      <c r="F2" t="s">
        <v>38</v>
      </c>
      <c r="H2">
        <v>1</v>
      </c>
      <c r="I2">
        <v>0.67359999999999998</v>
      </c>
      <c r="J2">
        <f>H2*I2</f>
        <v>0.67359999999999998</v>
      </c>
    </row>
    <row r="3" spans="1:14" ht="15.75" customHeight="1" x14ac:dyDescent="0.25">
      <c r="A3" s="1"/>
      <c r="B3" t="s">
        <v>42</v>
      </c>
      <c r="C3" s="8"/>
      <c r="D3" t="s">
        <v>41</v>
      </c>
      <c r="E3" t="s">
        <v>14</v>
      </c>
      <c r="F3" t="s">
        <v>40</v>
      </c>
      <c r="H3">
        <v>1</v>
      </c>
      <c r="I3">
        <v>0.997</v>
      </c>
      <c r="J3">
        <f>H3*I3</f>
        <v>0.997</v>
      </c>
    </row>
    <row r="4" spans="1:14" s="1" customFormat="1" ht="15.75" customHeight="1" x14ac:dyDescent="0.25">
      <c r="B4" s="1" t="s">
        <v>27</v>
      </c>
      <c r="C4" s="8" t="s">
        <v>16</v>
      </c>
      <c r="D4" s="1" t="s">
        <v>25</v>
      </c>
      <c r="E4" s="1" t="s">
        <v>14</v>
      </c>
      <c r="F4" s="1" t="s">
        <v>26</v>
      </c>
      <c r="G4" s="6"/>
      <c r="H4" s="1">
        <v>1</v>
      </c>
      <c r="I4" s="1">
        <v>0.24</v>
      </c>
      <c r="J4">
        <f t="shared" ref="J4:J13" si="0">H4*I4</f>
        <v>0.24</v>
      </c>
    </row>
    <row r="5" spans="1:14" ht="15.75" customHeight="1" x14ac:dyDescent="0.25">
      <c r="A5" s="1"/>
      <c r="B5" t="s">
        <v>23</v>
      </c>
      <c r="C5" s="8" t="s">
        <v>24</v>
      </c>
      <c r="D5" s="3" t="s">
        <v>22</v>
      </c>
      <c r="E5" s="3" t="s">
        <v>14</v>
      </c>
      <c r="F5" s="3" t="s">
        <v>21</v>
      </c>
      <c r="H5" s="3">
        <v>1</v>
      </c>
      <c r="I5">
        <v>0.39900000000000002</v>
      </c>
      <c r="J5">
        <f t="shared" si="0"/>
        <v>0.39900000000000002</v>
      </c>
    </row>
    <row r="6" spans="1:14" ht="15.75" customHeight="1" x14ac:dyDescent="0.25">
      <c r="A6" s="1"/>
      <c r="B6" t="s">
        <v>19</v>
      </c>
      <c r="C6" s="8" t="s">
        <v>20</v>
      </c>
      <c r="D6" s="3" t="s">
        <v>18</v>
      </c>
      <c r="E6" s="3" t="s">
        <v>14</v>
      </c>
      <c r="F6" s="3" t="s">
        <v>17</v>
      </c>
      <c r="H6" s="3">
        <v>1</v>
      </c>
      <c r="I6">
        <v>0.106</v>
      </c>
      <c r="J6">
        <f t="shared" si="0"/>
        <v>0.106</v>
      </c>
    </row>
    <row r="7" spans="1:14" s="1" customFormat="1" ht="12.5" x14ac:dyDescent="0.25">
      <c r="B7" s="1" t="s">
        <v>33</v>
      </c>
      <c r="C7" s="6" t="s">
        <v>28</v>
      </c>
      <c r="D7" s="1" t="s">
        <v>30</v>
      </c>
      <c r="E7" s="1" t="s">
        <v>14</v>
      </c>
      <c r="F7" s="1" t="s">
        <v>29</v>
      </c>
      <c r="G7" s="6"/>
      <c r="H7" s="1">
        <v>1</v>
      </c>
      <c r="I7" s="1">
        <v>0.66200000000000003</v>
      </c>
      <c r="J7">
        <f t="shared" si="0"/>
        <v>0.66200000000000003</v>
      </c>
    </row>
    <row r="8" spans="1:14" s="1" customFormat="1" ht="12.5" x14ac:dyDescent="0.25">
      <c r="B8" s="1" t="s">
        <v>32</v>
      </c>
      <c r="C8" s="6" t="s">
        <v>31</v>
      </c>
      <c r="D8" s="1" t="s">
        <v>34</v>
      </c>
      <c r="E8" s="1" t="s">
        <v>14</v>
      </c>
      <c r="F8" s="1" t="s">
        <v>35</v>
      </c>
      <c r="G8" s="6"/>
      <c r="H8" s="1">
        <v>1</v>
      </c>
      <c r="I8" s="1">
        <v>0.69</v>
      </c>
      <c r="J8">
        <f t="shared" si="0"/>
        <v>0.69</v>
      </c>
    </row>
    <row r="9" spans="1:14" ht="15.75" customHeight="1" x14ac:dyDescent="0.25">
      <c r="B9" t="s">
        <v>36</v>
      </c>
      <c r="D9">
        <v>3568</v>
      </c>
      <c r="E9" s="1" t="s">
        <v>14</v>
      </c>
      <c r="F9" t="s">
        <v>37</v>
      </c>
      <c r="H9" s="1">
        <v>4</v>
      </c>
      <c r="I9" s="1">
        <v>0.90500000000000003</v>
      </c>
      <c r="J9">
        <f t="shared" si="0"/>
        <v>3.62</v>
      </c>
    </row>
    <row r="10" spans="1:14" ht="15.75" customHeight="1" x14ac:dyDescent="0.25">
      <c r="B10" t="s">
        <v>45</v>
      </c>
      <c r="D10" t="s">
        <v>44</v>
      </c>
      <c r="E10" s="1" t="s">
        <v>14</v>
      </c>
      <c r="F10" t="s">
        <v>43</v>
      </c>
      <c r="H10" s="1">
        <v>2</v>
      </c>
      <c r="I10" s="1">
        <v>0.23119999999999999</v>
      </c>
      <c r="J10">
        <f t="shared" si="0"/>
        <v>0.46239999999999998</v>
      </c>
    </row>
    <row r="11" spans="1:14" s="1" customFormat="1" ht="12.5" x14ac:dyDescent="0.25">
      <c r="B11" s="1" t="s">
        <v>50</v>
      </c>
      <c r="C11" s="6" t="s">
        <v>49</v>
      </c>
      <c r="D11" s="1" t="s">
        <v>48</v>
      </c>
      <c r="E11" s="1" t="s">
        <v>14</v>
      </c>
      <c r="F11" s="1" t="s">
        <v>47</v>
      </c>
      <c r="G11" s="10"/>
      <c r="H11" s="1">
        <v>1</v>
      </c>
      <c r="I11" s="13">
        <v>0.21240000000000001</v>
      </c>
      <c r="J11">
        <f t="shared" si="0"/>
        <v>0.21240000000000001</v>
      </c>
    </row>
    <row r="12" spans="1:14" s="1" customFormat="1" ht="12.5" x14ac:dyDescent="0.25">
      <c r="C12" s="6"/>
      <c r="G12" s="17"/>
      <c r="J12">
        <f t="shared" si="0"/>
        <v>0</v>
      </c>
    </row>
    <row r="13" spans="1:14" s="1" customFormat="1" ht="12.5" x14ac:dyDescent="0.25">
      <c r="C13" s="6"/>
      <c r="G13" s="6"/>
      <c r="J13">
        <f t="shared" si="0"/>
        <v>0</v>
      </c>
    </row>
    <row r="14" spans="1:14" s="1" customFormat="1" ht="12.5" x14ac:dyDescent="0.25">
      <c r="C14" s="6"/>
      <c r="G14" s="6"/>
      <c r="J14"/>
    </row>
    <row r="15" spans="1:14" s="1" customFormat="1" ht="12.5" x14ac:dyDescent="0.25">
      <c r="C15" s="6"/>
      <c r="G15" s="6"/>
      <c r="I15" s="1" t="s">
        <v>46</v>
      </c>
      <c r="J15">
        <f>SUM(J2:J13)</f>
        <v>8.0623999999999985</v>
      </c>
    </row>
    <row r="16" spans="1:14" s="1" customFormat="1" ht="12.5" x14ac:dyDescent="0.25">
      <c r="C16" s="6"/>
      <c r="G16" s="6"/>
      <c r="J16"/>
    </row>
    <row r="17" spans="3:15" s="1" customFormat="1" ht="12.5" x14ac:dyDescent="0.25">
      <c r="C17" s="6"/>
      <c r="G17" s="6"/>
      <c r="J17"/>
    </row>
    <row r="18" spans="3:15" s="1" customFormat="1" ht="12.5" x14ac:dyDescent="0.25">
      <c r="C18" s="6"/>
      <c r="G18" s="6"/>
      <c r="J18"/>
    </row>
    <row r="19" spans="3:15" s="1" customFormat="1" ht="12.5" x14ac:dyDescent="0.25">
      <c r="C19" s="6"/>
      <c r="G19" s="6"/>
      <c r="J19"/>
    </row>
    <row r="20" spans="3:15" s="1" customFormat="1" ht="12.5" x14ac:dyDescent="0.25">
      <c r="C20" s="6"/>
      <c r="G20" s="6"/>
      <c r="J20"/>
    </row>
    <row r="21" spans="3:15" s="1" customFormat="1" ht="12.5" x14ac:dyDescent="0.25">
      <c r="C21" s="6"/>
      <c r="G21" s="10"/>
      <c r="I21" s="13"/>
      <c r="J21"/>
    </row>
    <row r="22" spans="3:15" s="1" customFormat="1" ht="12.5" x14ac:dyDescent="0.25">
      <c r="C22" s="6"/>
      <c r="G22" s="10"/>
      <c r="I22" s="11"/>
      <c r="J22"/>
    </row>
    <row r="23" spans="3:15" s="1" customFormat="1" ht="12.5" x14ac:dyDescent="0.25">
      <c r="C23" s="6"/>
      <c r="G23" s="10"/>
      <c r="I23" s="11"/>
      <c r="J23"/>
    </row>
    <row r="24" spans="3:15" s="1" customFormat="1" ht="12.5" x14ac:dyDescent="0.25">
      <c r="C24" s="6"/>
      <c r="G24" s="6"/>
      <c r="J24"/>
    </row>
    <row r="25" spans="3:15" s="1" customFormat="1" ht="12.5" x14ac:dyDescent="0.25">
      <c r="C25" s="6"/>
      <c r="G25" s="6"/>
      <c r="J25"/>
    </row>
    <row r="26" spans="3:15" s="1" customFormat="1" ht="12.5" x14ac:dyDescent="0.25">
      <c r="C26" s="6"/>
      <c r="G26" s="6"/>
      <c r="J26"/>
    </row>
    <row r="27" spans="3:15" s="1" customFormat="1" ht="12.5" x14ac:dyDescent="0.25">
      <c r="C27" s="6"/>
      <c r="G27" s="6"/>
      <c r="J27"/>
    </row>
    <row r="28" spans="3:15" s="1" customFormat="1" ht="12.5" x14ac:dyDescent="0.25">
      <c r="C28" s="6"/>
      <c r="G28" s="6"/>
      <c r="J28"/>
    </row>
    <row r="29" spans="3:15" s="1" customFormat="1" ht="12.5" x14ac:dyDescent="0.25">
      <c r="C29" s="6"/>
      <c r="G29" s="9"/>
      <c r="I29" s="12"/>
      <c r="J29"/>
    </row>
    <row r="30" spans="3:15" s="1" customFormat="1" ht="12.5" x14ac:dyDescent="0.25">
      <c r="C30" s="6"/>
      <c r="G30" s="6"/>
      <c r="I30" s="13"/>
      <c r="J30"/>
    </row>
    <row r="31" spans="3:15" s="1" customFormat="1" ht="12.5" x14ac:dyDescent="0.25">
      <c r="C31" s="6"/>
      <c r="G31" s="6"/>
      <c r="I31" s="11"/>
      <c r="J31"/>
    </row>
    <row r="32" spans="3:15" ht="15.75" customHeight="1" x14ac:dyDescent="0.25">
      <c r="D32" s="3"/>
      <c r="J32"/>
      <c r="O32" s="1"/>
    </row>
    <row r="33" spans="1:15" ht="15.75" customHeight="1" x14ac:dyDescent="0.25">
      <c r="D33" s="3"/>
      <c r="J33"/>
      <c r="O33" s="1"/>
    </row>
    <row r="34" spans="1:15" s="1" customFormat="1" ht="12.5" x14ac:dyDescent="0.25">
      <c r="C34" s="6"/>
      <c r="G34" s="6"/>
      <c r="J34"/>
    </row>
    <row r="35" spans="1:15" s="1" customFormat="1" ht="12.5" x14ac:dyDescent="0.25">
      <c r="C35" s="6"/>
      <c r="G35" s="6"/>
      <c r="J35"/>
    </row>
    <row r="36" spans="1:15" s="1" customFormat="1" ht="12.5" x14ac:dyDescent="0.25">
      <c r="C36" s="6"/>
      <c r="G36" s="6"/>
      <c r="J36"/>
    </row>
    <row r="37" spans="1:15" s="1" customFormat="1" ht="13" x14ac:dyDescent="0.3">
      <c r="A37" s="2"/>
      <c r="C37" s="6"/>
      <c r="G37" s="6"/>
      <c r="J37"/>
    </row>
    <row r="38" spans="1:15" s="1" customFormat="1" ht="13" x14ac:dyDescent="0.3">
      <c r="A38" s="2"/>
      <c r="C38" s="6"/>
      <c r="G38" s="6"/>
    </row>
    <row r="39" spans="1:15" s="1" customFormat="1" ht="13" x14ac:dyDescent="0.3">
      <c r="A39" s="2"/>
      <c r="C39" s="6"/>
      <c r="G39" s="6"/>
    </row>
    <row r="40" spans="1:15" s="1" customFormat="1" ht="13" x14ac:dyDescent="0.3">
      <c r="A40" s="2"/>
      <c r="C40" s="6"/>
      <c r="G40" s="6"/>
    </row>
    <row r="41" spans="1:15" s="1" customFormat="1" ht="13" x14ac:dyDescent="0.3">
      <c r="A41" s="2"/>
      <c r="C41" s="6"/>
      <c r="G41" s="6"/>
      <c r="J41" s="6"/>
    </row>
    <row r="42" spans="1:15" s="1" customFormat="1" ht="13" x14ac:dyDescent="0.3">
      <c r="A42" s="2"/>
      <c r="C42" s="6"/>
      <c r="G42" s="6"/>
      <c r="J42" s="6"/>
    </row>
    <row r="43" spans="1:15" s="1" customFormat="1" ht="13" x14ac:dyDescent="0.3">
      <c r="A43" s="2"/>
      <c r="C43" s="6"/>
      <c r="G43" s="6"/>
      <c r="J43" s="6"/>
    </row>
    <row r="44" spans="1:15" s="1" customFormat="1" ht="13" x14ac:dyDescent="0.3">
      <c r="A44" s="2"/>
      <c r="C44" s="6"/>
      <c r="G44" s="6"/>
      <c r="J44" s="6"/>
    </row>
    <row r="45" spans="1:15" s="1" customFormat="1" ht="13" x14ac:dyDescent="0.3">
      <c r="A45" s="2"/>
      <c r="C45" s="6"/>
      <c r="G45" s="6"/>
      <c r="J45" s="6"/>
    </row>
    <row r="46" spans="1:15" s="1" customFormat="1" ht="12.5" x14ac:dyDescent="0.25">
      <c r="C46" s="6"/>
      <c r="G46" s="6"/>
      <c r="J46" s="6"/>
    </row>
    <row r="47" spans="1:15" s="4" customFormat="1" ht="13" x14ac:dyDescent="0.3">
      <c r="C47" s="7"/>
      <c r="G47" s="7"/>
      <c r="J47" s="7"/>
    </row>
    <row r="48" spans="1:15" s="1" customFormat="1" ht="12.5" x14ac:dyDescent="0.25">
      <c r="C48" s="6"/>
      <c r="G48" s="6"/>
      <c r="J48" s="6"/>
    </row>
    <row r="49" spans="2:10" ht="12.5" x14ac:dyDescent="0.25">
      <c r="B49" s="1"/>
      <c r="J49" s="8"/>
    </row>
    <row r="50" spans="2:10" ht="12.5" x14ac:dyDescent="0.25">
      <c r="B50" s="1"/>
    </row>
    <row r="51" spans="2:10" ht="12.5" x14ac:dyDescent="0.25"/>
    <row r="52" spans="2:10" ht="12.5" x14ac:dyDescent="0.25"/>
    <row r="53" spans="2:10" ht="12.5" x14ac:dyDescent="0.25"/>
    <row r="54" spans="2:10" ht="12.5" x14ac:dyDescent="0.25"/>
    <row r="55" spans="2:10" ht="12.5" x14ac:dyDescent="0.25"/>
    <row r="56" spans="2:10" ht="12.5" x14ac:dyDescent="0.25"/>
    <row r="57" spans="2:10" ht="12.5" x14ac:dyDescent="0.25"/>
    <row r="58" spans="2:10" ht="12.5" x14ac:dyDescent="0.25"/>
    <row r="59" spans="2:10" ht="12.5" x14ac:dyDescent="0.25"/>
    <row r="60" spans="2:10" ht="12.5" x14ac:dyDescent="0.25"/>
    <row r="61" spans="2:10" ht="12.5" x14ac:dyDescent="0.25"/>
    <row r="62" spans="2:10" ht="12.5" x14ac:dyDescent="0.25"/>
    <row r="63" spans="2:10" ht="12.5" x14ac:dyDescent="0.25"/>
    <row r="64" spans="2:10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</sheetData>
  <phoneticPr fontId="8" type="noConversion"/>
  <printOptions horizontalCentered="1" gridLines="1"/>
  <pageMargins left="0.7" right="0.7" top="0.75" bottom="0.75" header="0" footer="0"/>
  <pageSetup scale="75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</cp:lastModifiedBy>
  <dcterms:modified xsi:type="dcterms:W3CDTF">2025-10-17T21:25:05Z</dcterms:modified>
</cp:coreProperties>
</file>